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Transactions" sheetId="2" state="visible" r:id="rId4"/>
    <sheet name="Price List" sheetId="3" state="visible" r:id="rId5"/>
  </sheets>
  <definedNames>
    <definedName function="false" hidden="true" localSheetId="1" name="_xlnm._FilterDatabase" vbProcedure="false">Transactions!$A$1:$H$45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<sst xmlns="http://schemas.openxmlformats.org/spreadsheetml/2006/main" count="249" uniqueCount="116">
  <si>
    <t xml:space="preserve">Harbour Lane Café — Customer Transactions</t>
  </si>
  <si>
    <t xml:space="preserve">ENAI11-100 / ENAI71-100 Thinking With AI · Skills Assignment 1 · Problem B dataset</t>
  </si>
  <si>
    <t xml:space="preserve">Scenario</t>
  </si>
  <si>
    <t xml:space="preserve">Harbour Lane Café is a fictional Gold Coast café. The 'Transactions' sheet is an export of point-of-sale records over three trading days (7–9 September 2026). The owner suspects the export contains duplicate and anomalous records and has asked you to write a program that finds them.</t>
  </si>
  <si>
    <t xml:space="preserve">Your task</t>
  </si>
  <si>
    <t xml:space="preserve">Write a Python program that reads this workbook and reports duplicate or anomalous transactions, with a reason for each flag. Follow the five-step process in the task sheet (decompose by hand, pseudocode, AI review, testing, labelled draft vs refined code).</t>
  </si>
  <si>
    <t xml:space="preserve">Important</t>
  </si>
  <si>
    <t xml:space="preserve">Not every unusual-looking record is an error, and some errors are subtle. You must state your own definitions and thresholds (e.g. what counts as an 'implausibly short interval' or a 'normal range') as explicit assumptions, and justify them.</t>
  </si>
  <si>
    <t xml:space="preserve">Reading the file</t>
  </si>
  <si>
    <t xml:space="preserve">pandas: pd.read_excel('file.xlsx', sheet_name='Transactions') and sheet_name='Price List'. Requires the openpyxl package.</t>
  </si>
  <si>
    <t xml:space="preserve">Data dictionary</t>
  </si>
  <si>
    <t xml:space="preserve">Field</t>
  </si>
  <si>
    <t xml:space="preserve">Type</t>
  </si>
  <si>
    <t xml:space="preserve">Description</t>
  </si>
  <si>
    <t xml:space="preserve">TransactionID</t>
  </si>
  <si>
    <t xml:space="preserve">Text</t>
  </si>
  <si>
    <t xml:space="preserve">Point-of-sale transaction reference (intended to be unique).</t>
  </si>
  <si>
    <t xml:space="preserve">Timestamp</t>
  </si>
  <si>
    <t xml:space="preserve">Date-time</t>
  </si>
  <si>
    <t xml:space="preserve">Date and time the transaction was recorded (local time, AEST).</t>
  </si>
  <si>
    <t xml:space="preserve">CustomerID</t>
  </si>
  <si>
    <t xml:space="preserve">Loyalty-card customer identifier.</t>
  </si>
  <si>
    <t xml:space="preserve">Item</t>
  </si>
  <si>
    <t xml:space="preserve">Product name as recorded at the till.</t>
  </si>
  <si>
    <t xml:space="preserve">Quantity</t>
  </si>
  <si>
    <t xml:space="preserve">Integer</t>
  </si>
  <si>
    <t xml:space="preserve">Number of units purchased.</t>
  </si>
  <si>
    <t xml:space="preserve">UnitPrice (AUD)</t>
  </si>
  <si>
    <t xml:space="preserve">Currency</t>
  </si>
  <si>
    <t xml:space="preserve">Price charged per unit, in Australian dollars.</t>
  </si>
  <si>
    <t xml:space="preserve">LineTotal (AUD)</t>
  </si>
  <si>
    <t xml:space="preserve">Quantity x UnitPrice (calculated).</t>
  </si>
  <si>
    <t xml:space="preserve">PaymentMethod</t>
  </si>
  <si>
    <t xml:space="preserve">Card, Cash or Mobile.</t>
  </si>
  <si>
    <t xml:space="preserve">T0001</t>
  </si>
  <si>
    <t xml:space="preserve">C1001</t>
  </si>
  <si>
    <t xml:space="preserve">Flat White</t>
  </si>
  <si>
    <t xml:space="preserve">Card</t>
  </si>
  <si>
    <t xml:space="preserve">T0002</t>
  </si>
  <si>
    <t xml:space="preserve">C1002</t>
  </si>
  <si>
    <t xml:space="preserve">Croissant</t>
  </si>
  <si>
    <t xml:space="preserve">T0003</t>
  </si>
  <si>
    <t xml:space="preserve">C1003</t>
  </si>
  <si>
    <t xml:space="preserve">Long Black</t>
  </si>
  <si>
    <t xml:space="preserve">Cash</t>
  </si>
  <si>
    <t xml:space="preserve">T0004</t>
  </si>
  <si>
    <t xml:space="preserve">C1004</t>
  </si>
  <si>
    <t xml:space="preserve">Chai Latte</t>
  </si>
  <si>
    <t xml:space="preserve">T0005</t>
  </si>
  <si>
    <t xml:space="preserve">T0006</t>
  </si>
  <si>
    <t xml:space="preserve">C1005</t>
  </si>
  <si>
    <t xml:space="preserve">Banana Bread</t>
  </si>
  <si>
    <t xml:space="preserve">Mobile</t>
  </si>
  <si>
    <t xml:space="preserve">T0007</t>
  </si>
  <si>
    <t xml:space="preserve">T0008</t>
  </si>
  <si>
    <t xml:space="preserve">C1006</t>
  </si>
  <si>
    <t xml:space="preserve">Ham &amp; Cheese Toastie</t>
  </si>
  <si>
    <t xml:space="preserve">T0009</t>
  </si>
  <si>
    <t xml:space="preserve">C1007</t>
  </si>
  <si>
    <t xml:space="preserve">T0010</t>
  </si>
  <si>
    <t xml:space="preserve">C1008</t>
  </si>
  <si>
    <t xml:space="preserve">Bottled Water</t>
  </si>
  <si>
    <t xml:space="preserve">T0011</t>
  </si>
  <si>
    <t xml:space="preserve">C1009</t>
  </si>
  <si>
    <t xml:space="preserve">Cappuccino</t>
  </si>
  <si>
    <t xml:space="preserve">T0012</t>
  </si>
  <si>
    <t xml:space="preserve">Blueberry Muffin</t>
  </si>
  <si>
    <t xml:space="preserve">T0013</t>
  </si>
  <si>
    <t xml:space="preserve">C1010</t>
  </si>
  <si>
    <t xml:space="preserve">Chicken Wrap</t>
  </si>
  <si>
    <t xml:space="preserve">T0014</t>
  </si>
  <si>
    <t xml:space="preserve">C1011</t>
  </si>
  <si>
    <t xml:space="preserve">T0015</t>
  </si>
  <si>
    <t xml:space="preserve">T0016</t>
  </si>
  <si>
    <t xml:space="preserve">T0017</t>
  </si>
  <si>
    <t xml:space="preserve">C1012</t>
  </si>
  <si>
    <t xml:space="preserve">Fresh Orange Juice</t>
  </si>
  <si>
    <t xml:space="preserve">T0018</t>
  </si>
  <si>
    <t xml:space="preserve">T0019</t>
  </si>
  <si>
    <t xml:space="preserve">T0020</t>
  </si>
  <si>
    <t xml:space="preserve">C1013</t>
  </si>
  <si>
    <t xml:space="preserve">T0021</t>
  </si>
  <si>
    <t xml:space="preserve">T0022</t>
  </si>
  <si>
    <t xml:space="preserve">C1014</t>
  </si>
  <si>
    <t xml:space="preserve">T0023</t>
  </si>
  <si>
    <t xml:space="preserve">T0024</t>
  </si>
  <si>
    <t xml:space="preserve">C1015</t>
  </si>
  <si>
    <t xml:space="preserve">T0025</t>
  </si>
  <si>
    <t xml:space="preserve">T0026</t>
  </si>
  <si>
    <t xml:space="preserve">T0027</t>
  </si>
  <si>
    <t xml:space="preserve">T0028</t>
  </si>
  <si>
    <t xml:space="preserve">Coffee Beans 500g</t>
  </si>
  <si>
    <t xml:space="preserve">T0029</t>
  </si>
  <si>
    <t xml:space="preserve">T0030</t>
  </si>
  <si>
    <t xml:space="preserve">T0031</t>
  </si>
  <si>
    <t xml:space="preserve">Capuccino</t>
  </si>
  <si>
    <t xml:space="preserve">T0032</t>
  </si>
  <si>
    <t xml:space="preserve">T0033</t>
  </si>
  <si>
    <t xml:space="preserve">T0034</t>
  </si>
  <si>
    <t xml:space="preserve">T0035</t>
  </si>
  <si>
    <t xml:space="preserve">T0036</t>
  </si>
  <si>
    <t xml:space="preserve">T0037</t>
  </si>
  <si>
    <t xml:space="preserve">T0038</t>
  </si>
  <si>
    <t xml:space="preserve">T0039</t>
  </si>
  <si>
    <t xml:space="preserve">T0040</t>
  </si>
  <si>
    <t xml:space="preserve">T0042</t>
  </si>
  <si>
    <t xml:space="preserve">T0043</t>
  </si>
  <si>
    <t xml:space="preserve">T0044</t>
  </si>
  <si>
    <t xml:space="preserve">Category</t>
  </si>
  <si>
    <t xml:space="preserve">List Price (AUD)</t>
  </si>
  <si>
    <t xml:space="preserve">Hot beverage</t>
  </si>
  <si>
    <t xml:space="preserve">Cold beverage</t>
  </si>
  <si>
    <t xml:space="preserve">Bakery</t>
  </si>
  <si>
    <t xml:space="preserve">Food</t>
  </si>
  <si>
    <t xml:space="preserve">Retail</t>
  </si>
  <si>
    <t xml:space="preserve">Note: list prices are the café's standard menu prices (fictional). Tolerances for what counts as an abnormal price are for you to define and justify.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</si>
</sst>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h:mm:ss"/>
    <numFmt numFmtId="166" formatCode="\$#,##0.00"/>
    <numFmt numFmtId="167" formatCode="\$#,##0.00;&quot;-$&quot;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7.75" hidden="false" customHeight="true" outlineLevel="0" collapsed="false">
      <c r="A4" s="3" t="s">
        <v>2</v>
      </c>
      <c r="B4" s="4" t="s">
        <v>3</v>
      </c>
      <c r="C4" s="4"/>
    </row>
    <row r="5" customFormat="false" ht="57.75" hidden="false" customHeight="true" outlineLevel="0" collapsed="false">
      <c r="A5" s="3" t="s">
        <v>4</v>
      </c>
      <c r="B5" s="4" t="s">
        <v>5</v>
      </c>
      <c r="C5" s="4"/>
    </row>
    <row r="6" customFormat="false" ht="57.75" hidden="false" customHeight="true" outlineLevel="0" collapsed="false">
      <c r="A6" s="3" t="s">
        <v>6</v>
      </c>
      <c r="B6" s="4" t="s">
        <v>7</v>
      </c>
      <c r="C6" s="4"/>
    </row>
    <row r="7" customFormat="false" ht="57.75" hidden="false" customHeight="true" outlineLevel="0" collapsed="false">
      <c r="A7" s="3" t="s">
        <v>8</v>
      </c>
      <c r="B7" s="4" t="s">
        <v>9</v>
      </c>
      <c r="C7" s="4"/>
    </row>
    <row r="9" customFormat="false" ht="15" hidden="false" customHeight="false" outlineLevel="0" collapsed="false">
      <c r="A9" s="5" t="s">
        <v>10</v>
      </c>
    </row>
    <row r="10" customFormat="false" ht="15" hidden="false" customHeight="false" outlineLevel="0" collapsed="false">
      <c r="A10" s="6" t="s">
        <v>11</v>
      </c>
      <c r="B10" s="6" t="s">
        <v>12</v>
      </c>
      <c r="C10" s="6" t="s">
        <v>13</v>
      </c>
    </row>
    <row r="11" customFormat="false" ht="15" hidden="false" customHeight="false" outlineLevel="0" collapsed="false">
      <c r="A11" s="7" t="s">
        <v>14</v>
      </c>
      <c r="B11" s="7" t="s">
        <v>15</v>
      </c>
      <c r="C11" s="7" t="s">
        <v>16</v>
      </c>
    </row>
    <row r="12" customFormat="false" ht="15" hidden="false" customHeight="false" outlineLevel="0" collapsed="false">
      <c r="A12" s="7" t="s">
        <v>17</v>
      </c>
      <c r="B12" s="7" t="s">
        <v>18</v>
      </c>
      <c r="C12" s="7" t="s">
        <v>19</v>
      </c>
    </row>
    <row r="13" customFormat="false" ht="15" hidden="false" customHeight="false" outlineLevel="0" collapsed="false">
      <c r="A13" s="7" t="s">
        <v>20</v>
      </c>
      <c r="B13" s="7" t="s">
        <v>15</v>
      </c>
      <c r="C13" s="7" t="s">
        <v>21</v>
      </c>
    </row>
    <row r="14" customFormat="false" ht="15" hidden="false" customHeight="false" outlineLevel="0" collapsed="false">
      <c r="A14" s="7" t="s">
        <v>22</v>
      </c>
      <c r="B14" s="7" t="s">
        <v>15</v>
      </c>
      <c r="C14" s="7" t="s">
        <v>23</v>
      </c>
    </row>
    <row r="15" customFormat="false" ht="15" hidden="false" customHeight="false" outlineLevel="0" collapsed="false">
      <c r="A15" s="7" t="s">
        <v>24</v>
      </c>
      <c r="B15" s="7" t="s">
        <v>25</v>
      </c>
      <c r="C15" s="7" t="s">
        <v>26</v>
      </c>
    </row>
    <row r="16" customFormat="false" ht="15" hidden="false" customHeight="false" outlineLevel="0" collapsed="false">
      <c r="A16" s="7" t="s">
        <v>27</v>
      </c>
      <c r="B16" s="7" t="s">
        <v>28</v>
      </c>
      <c r="C16" s="7" t="s">
        <v>29</v>
      </c>
    </row>
    <row r="17" customFormat="false" ht="15" hidden="false" customHeight="false" outlineLevel="0" collapsed="false">
      <c r="A17" s="7" t="s">
        <v>30</v>
      </c>
      <c r="B17" s="7" t="s">
        <v>28</v>
      </c>
      <c r="C17" s="7" t="s">
        <v>31</v>
      </c>
    </row>
    <row r="18" customFormat="false" ht="15" hidden="false" customHeight="false" outlineLevel="0" collapsed="false">
      <c r="A18" s="7" t="s">
        <v>32</v>
      </c>
      <c r="B18" s="7" t="s">
        <v>15</v>
      </c>
      <c r="C18" s="7" t="s">
        <v>33</v>
      </c>
    </row>
  </sheetData>
  <mergeCells count="4">
    <mergeCell ref="B4:C4"/>
    <mergeCell ref="B5:C5"/>
    <mergeCell ref="B6:C6"/>
    <mergeCell ref="B7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1"/>
    <col collapsed="false" customWidth="true" hidden="false" outlineLevel="0" max="3" min="3" style="0" width="13"/>
    <col collapsed="false" customWidth="true" hidden="false" outlineLevel="0" max="4" min="4" style="0" width="23"/>
    <col collapsed="false" customWidth="true" hidden="false" outlineLevel="0" max="5" min="5" style="0" width="11"/>
    <col collapsed="false" customWidth="true" hidden="false" outlineLevel="0" max="8" min="6" style="0" width="16"/>
  </cols>
  <sheetData>
    <row r="1" customFormat="false" ht="21.75" hidden="false" customHeight="true" outlineLevel="0" collapsed="false">
      <c r="A1" s="6" t="s">
        <v>14</v>
      </c>
      <c r="B1" s="6" t="s">
        <v>17</v>
      </c>
      <c r="C1" s="6" t="s">
        <v>20</v>
      </c>
      <c r="D1" s="6" t="s">
        <v>22</v>
      </c>
      <c r="E1" s="6" t="s">
        <v>24</v>
      </c>
      <c r="F1" s="6" t="s">
        <v>27</v>
      </c>
      <c r="G1" s="6" t="s">
        <v>30</v>
      </c>
      <c r="H1" s="6" t="s">
        <v>32</v>
      </c>
    </row>
    <row r="2" customFormat="false" ht="15" hidden="false" customHeight="false" outlineLevel="0" collapsed="false">
      <c r="A2" s="8" t="s">
        <v>34</v>
      </c>
      <c r="B2" s="9" t="n">
        <v>46272.3000578704</v>
      </c>
      <c r="C2" s="8" t="s">
        <v>35</v>
      </c>
      <c r="D2" s="10" t="s">
        <v>36</v>
      </c>
      <c r="E2" s="8" t="n">
        <v>1</v>
      </c>
      <c r="F2" s="11" t="n">
        <v>5.2</v>
      </c>
      <c r="G2" s="12" t="n">
        <f aca="false">E2*F2</f>
        <v>5.2</v>
      </c>
      <c r="H2" s="8" t="s">
        <v>37</v>
      </c>
    </row>
    <row r="3" customFormat="false" ht="15" hidden="false" customHeight="false" outlineLevel="0" collapsed="false">
      <c r="A3" s="8" t="s">
        <v>38</v>
      </c>
      <c r="B3" s="9" t="n">
        <v>46272.3046296296</v>
      </c>
      <c r="C3" s="8" t="s">
        <v>39</v>
      </c>
      <c r="D3" s="10" t="s">
        <v>40</v>
      </c>
      <c r="E3" s="8" t="n">
        <v>2</v>
      </c>
      <c r="F3" s="11" t="n">
        <v>4.9</v>
      </c>
      <c r="G3" s="12" t="n">
        <f aca="false">E3*F3</f>
        <v>9.8</v>
      </c>
      <c r="H3" s="8" t="s">
        <v>37</v>
      </c>
    </row>
    <row r="4" customFormat="false" ht="15" hidden="false" customHeight="false" outlineLevel="0" collapsed="false">
      <c r="A4" s="8" t="s">
        <v>41</v>
      </c>
      <c r="B4" s="9" t="n">
        <v>46272.3091550926</v>
      </c>
      <c r="C4" s="8" t="s">
        <v>42</v>
      </c>
      <c r="D4" s="10" t="s">
        <v>43</v>
      </c>
      <c r="E4" s="8" t="n">
        <v>1</v>
      </c>
      <c r="F4" s="11" t="n">
        <v>4.8</v>
      </c>
      <c r="G4" s="12" t="n">
        <f aca="false">E4*F4</f>
        <v>4.8</v>
      </c>
      <c r="H4" s="8" t="s">
        <v>44</v>
      </c>
    </row>
    <row r="5" customFormat="false" ht="15" hidden="false" customHeight="false" outlineLevel="0" collapsed="false">
      <c r="A5" s="8" t="s">
        <v>45</v>
      </c>
      <c r="B5" s="9" t="n">
        <v>46272.3137962963</v>
      </c>
      <c r="C5" s="8" t="s">
        <v>46</v>
      </c>
      <c r="D5" s="10" t="s">
        <v>47</v>
      </c>
      <c r="E5" s="8" t="n">
        <v>1</v>
      </c>
      <c r="F5" s="11" t="n">
        <v>5.5</v>
      </c>
      <c r="G5" s="12" t="n">
        <f aca="false">E5*F5</f>
        <v>5.5</v>
      </c>
      <c r="H5" s="8" t="s">
        <v>37</v>
      </c>
    </row>
    <row r="6" customFormat="false" ht="15" hidden="false" customHeight="false" outlineLevel="0" collapsed="false">
      <c r="A6" s="8" t="s">
        <v>48</v>
      </c>
      <c r="B6" s="9" t="n">
        <v>46272.3137962963</v>
      </c>
      <c r="C6" s="8" t="s">
        <v>46</v>
      </c>
      <c r="D6" s="10" t="s">
        <v>47</v>
      </c>
      <c r="E6" s="8" t="n">
        <v>1</v>
      </c>
      <c r="F6" s="11" t="n">
        <v>5.5</v>
      </c>
      <c r="G6" s="12" t="n">
        <f aca="false">E6*F6</f>
        <v>5.5</v>
      </c>
      <c r="H6" s="8" t="s">
        <v>37</v>
      </c>
    </row>
    <row r="7" customFormat="false" ht="15" hidden="false" customHeight="false" outlineLevel="0" collapsed="false">
      <c r="A7" s="8" t="s">
        <v>49</v>
      </c>
      <c r="B7" s="9" t="n">
        <v>46272.3236458333</v>
      </c>
      <c r="C7" s="8" t="s">
        <v>50</v>
      </c>
      <c r="D7" s="10" t="s">
        <v>51</v>
      </c>
      <c r="E7" s="8" t="n">
        <v>1</v>
      </c>
      <c r="F7" s="11" t="n">
        <v>5.8</v>
      </c>
      <c r="G7" s="12" t="n">
        <f aca="false">E7*F7</f>
        <v>5.8</v>
      </c>
      <c r="H7" s="8" t="s">
        <v>52</v>
      </c>
    </row>
    <row r="8" customFormat="false" ht="15" hidden="false" customHeight="false" outlineLevel="0" collapsed="false">
      <c r="A8" s="8" t="s">
        <v>53</v>
      </c>
      <c r="B8" s="9" t="n">
        <v>46272.3350347222</v>
      </c>
      <c r="C8" s="8" t="s">
        <v>35</v>
      </c>
      <c r="D8" s="10" t="s">
        <v>40</v>
      </c>
      <c r="E8" s="8" t="n">
        <v>1</v>
      </c>
      <c r="F8" s="11" t="n">
        <v>4.9</v>
      </c>
      <c r="G8" s="12" t="n">
        <f aca="false">E8*F8</f>
        <v>4.9</v>
      </c>
      <c r="H8" s="8" t="s">
        <v>37</v>
      </c>
    </row>
    <row r="9" customFormat="false" ht="15" hidden="false" customHeight="false" outlineLevel="0" collapsed="false">
      <c r="A9" s="8" t="s">
        <v>54</v>
      </c>
      <c r="B9" s="9" t="n">
        <v>46272.3442592593</v>
      </c>
      <c r="C9" s="8" t="s">
        <v>55</v>
      </c>
      <c r="D9" s="10" t="s">
        <v>56</v>
      </c>
      <c r="E9" s="8" t="n">
        <v>1</v>
      </c>
      <c r="F9" s="11" t="n">
        <v>9.5</v>
      </c>
      <c r="G9" s="12" t="n">
        <f aca="false">E9*F9</f>
        <v>9.5</v>
      </c>
      <c r="H9" s="8" t="s">
        <v>37</v>
      </c>
    </row>
    <row r="10" customFormat="false" ht="15" hidden="false" customHeight="false" outlineLevel="0" collapsed="false">
      <c r="A10" s="8" t="s">
        <v>57</v>
      </c>
      <c r="B10" s="9" t="n">
        <v>46272.3613310185</v>
      </c>
      <c r="C10" s="8" t="s">
        <v>58</v>
      </c>
      <c r="D10" s="10" t="s">
        <v>36</v>
      </c>
      <c r="E10" s="8" t="n">
        <v>24</v>
      </c>
      <c r="F10" s="11" t="n">
        <v>5.2</v>
      </c>
      <c r="G10" s="12" t="n">
        <f aca="false">E10*F10</f>
        <v>124.8</v>
      </c>
      <c r="H10" s="8" t="s">
        <v>37</v>
      </c>
    </row>
    <row r="11" customFormat="false" ht="15" hidden="false" customHeight="false" outlineLevel="0" collapsed="false">
      <c r="A11" s="8" t="s">
        <v>59</v>
      </c>
      <c r="B11" s="9" t="n">
        <v>46272.3788888889</v>
      </c>
      <c r="C11" s="8" t="s">
        <v>60</v>
      </c>
      <c r="D11" s="10" t="s">
        <v>61</v>
      </c>
      <c r="E11" s="8" t="n">
        <v>2</v>
      </c>
      <c r="F11" s="11" t="n">
        <v>3.5</v>
      </c>
      <c r="G11" s="12" t="n">
        <f aca="false">E11*F11</f>
        <v>7</v>
      </c>
      <c r="H11" s="8" t="s">
        <v>44</v>
      </c>
    </row>
    <row r="12" customFormat="false" ht="15" hidden="false" customHeight="false" outlineLevel="0" collapsed="false">
      <c r="A12" s="8" t="s">
        <v>62</v>
      </c>
      <c r="B12" s="9" t="n">
        <v>46272.3903935185</v>
      </c>
      <c r="C12" s="8" t="s">
        <v>63</v>
      </c>
      <c r="D12" s="10" t="s">
        <v>64</v>
      </c>
      <c r="E12" s="8" t="n">
        <v>1</v>
      </c>
      <c r="F12" s="11" t="n">
        <v>55</v>
      </c>
      <c r="G12" s="12" t="n">
        <f aca="false">E12*F12</f>
        <v>55</v>
      </c>
      <c r="H12" s="8" t="s">
        <v>37</v>
      </c>
    </row>
    <row r="13" customFormat="false" ht="15" hidden="false" customHeight="false" outlineLevel="0" collapsed="false">
      <c r="A13" s="8" t="s">
        <v>65</v>
      </c>
      <c r="B13" s="9" t="n">
        <v>46272.4242824074</v>
      </c>
      <c r="C13" s="8" t="s">
        <v>42</v>
      </c>
      <c r="D13" s="10" t="s">
        <v>66</v>
      </c>
      <c r="E13" s="8" t="n">
        <v>1</v>
      </c>
      <c r="F13" s="11" t="n">
        <v>4.8</v>
      </c>
      <c r="G13" s="12" t="n">
        <f aca="false">E13*F13</f>
        <v>4.8</v>
      </c>
      <c r="H13" s="8" t="s">
        <v>44</v>
      </c>
    </row>
    <row r="14" customFormat="false" ht="15" hidden="false" customHeight="false" outlineLevel="0" collapsed="false">
      <c r="A14" s="8" t="s">
        <v>67</v>
      </c>
      <c r="B14" s="9" t="n">
        <v>46272.4912268519</v>
      </c>
      <c r="C14" s="8" t="s">
        <v>68</v>
      </c>
      <c r="D14" s="10" t="s">
        <v>69</v>
      </c>
      <c r="E14" s="8" t="n">
        <v>1</v>
      </c>
      <c r="F14" s="11" t="n">
        <v>12.5</v>
      </c>
      <c r="G14" s="12" t="n">
        <f aca="false">E14*F14</f>
        <v>12.5</v>
      </c>
      <c r="H14" s="8" t="s">
        <v>37</v>
      </c>
    </row>
    <row r="15" customFormat="false" ht="15" hidden="false" customHeight="false" outlineLevel="0" collapsed="false">
      <c r="A15" s="8" t="s">
        <v>70</v>
      </c>
      <c r="B15" s="9" t="n">
        <v>46272.5022569444</v>
      </c>
      <c r="C15" s="8" t="s">
        <v>71</v>
      </c>
      <c r="D15" s="10" t="s">
        <v>69</v>
      </c>
      <c r="E15" s="8" t="n">
        <v>1</v>
      </c>
      <c r="F15" s="11" t="n">
        <v>12.5</v>
      </c>
      <c r="G15" s="12" t="n">
        <f aca="false">E15*F15</f>
        <v>12.5</v>
      </c>
      <c r="H15" s="8" t="s">
        <v>37</v>
      </c>
    </row>
    <row r="16" customFormat="false" ht="15" hidden="false" customHeight="false" outlineLevel="0" collapsed="false">
      <c r="A16" s="8" t="s">
        <v>72</v>
      </c>
      <c r="B16" s="9" t="n">
        <v>46272.5026388889</v>
      </c>
      <c r="C16" s="8" t="s">
        <v>71</v>
      </c>
      <c r="D16" s="10" t="s">
        <v>69</v>
      </c>
      <c r="E16" s="8" t="n">
        <v>1</v>
      </c>
      <c r="F16" s="11" t="n">
        <v>12.5</v>
      </c>
      <c r="G16" s="12" t="n">
        <f aca="false">E16*F16</f>
        <v>12.5</v>
      </c>
      <c r="H16" s="8" t="s">
        <v>37</v>
      </c>
    </row>
    <row r="17" customFormat="false" ht="15" hidden="false" customHeight="false" outlineLevel="0" collapsed="false">
      <c r="A17" s="8" t="s">
        <v>73</v>
      </c>
      <c r="B17" s="9" t="n">
        <v>46272.5208564815</v>
      </c>
      <c r="C17" s="8" t="s">
        <v>35</v>
      </c>
      <c r="D17" s="10" t="s">
        <v>36</v>
      </c>
      <c r="E17" s="8" t="n">
        <v>1</v>
      </c>
      <c r="F17" s="11" t="n">
        <v>5.2</v>
      </c>
      <c r="G17" s="12" t="n">
        <f aca="false">E17*F17</f>
        <v>5.2</v>
      </c>
      <c r="H17" s="8" t="s">
        <v>37</v>
      </c>
    </row>
    <row r="18" customFormat="false" ht="15" hidden="false" customHeight="false" outlineLevel="0" collapsed="false">
      <c r="A18" s="8" t="s">
        <v>74</v>
      </c>
      <c r="B18" s="9" t="n">
        <v>46272.5523958333</v>
      </c>
      <c r="C18" s="8" t="s">
        <v>75</v>
      </c>
      <c r="D18" s="10" t="s">
        <v>76</v>
      </c>
      <c r="E18" s="8" t="n">
        <v>1</v>
      </c>
      <c r="F18" s="11" t="n">
        <v>6.5</v>
      </c>
      <c r="G18" s="12" t="n">
        <f aca="false">E18*F18</f>
        <v>6.5</v>
      </c>
      <c r="H18" s="8" t="s">
        <v>52</v>
      </c>
    </row>
    <row r="19" customFormat="false" ht="15" hidden="false" customHeight="false" outlineLevel="0" collapsed="false">
      <c r="A19" s="8" t="s">
        <v>77</v>
      </c>
      <c r="B19" s="9" t="n">
        <v>46272.6119097222</v>
      </c>
      <c r="C19" s="8"/>
      <c r="D19" s="10" t="s">
        <v>40</v>
      </c>
      <c r="E19" s="8" t="n">
        <v>1</v>
      </c>
      <c r="F19" s="11" t="n">
        <v>4.9</v>
      </c>
      <c r="G19" s="12" t="n">
        <f aca="false">E19*F19</f>
        <v>4.9</v>
      </c>
      <c r="H19" s="8" t="s">
        <v>44</v>
      </c>
    </row>
    <row r="20" customFormat="false" ht="15" hidden="false" customHeight="false" outlineLevel="0" collapsed="false">
      <c r="A20" s="8" t="s">
        <v>78</v>
      </c>
      <c r="B20" s="9" t="n">
        <v>46273.2954861111</v>
      </c>
      <c r="C20" s="8" t="s">
        <v>39</v>
      </c>
      <c r="D20" s="10" t="s">
        <v>36</v>
      </c>
      <c r="E20" s="8" t="n">
        <v>1</v>
      </c>
      <c r="F20" s="11" t="n">
        <v>5.2</v>
      </c>
      <c r="G20" s="12" t="n">
        <f aca="false">E20*F20</f>
        <v>5.2</v>
      </c>
      <c r="H20" s="8" t="s">
        <v>37</v>
      </c>
    </row>
    <row r="21" customFormat="false" ht="15" hidden="false" customHeight="false" outlineLevel="0" collapsed="false">
      <c r="A21" s="8" t="s">
        <v>79</v>
      </c>
      <c r="B21" s="9" t="n">
        <v>46273.3071064815</v>
      </c>
      <c r="C21" s="8" t="s">
        <v>80</v>
      </c>
      <c r="D21" s="10" t="s">
        <v>40</v>
      </c>
      <c r="E21" s="8" t="n">
        <v>120</v>
      </c>
      <c r="F21" s="11" t="n">
        <v>4.9</v>
      </c>
      <c r="G21" s="12" t="n">
        <f aca="false">E21*F21</f>
        <v>588</v>
      </c>
      <c r="H21" s="8" t="s">
        <v>37</v>
      </c>
    </row>
    <row r="22" customFormat="false" ht="15" hidden="false" customHeight="false" outlineLevel="0" collapsed="false">
      <c r="A22" s="8" t="s">
        <v>81</v>
      </c>
      <c r="B22" s="9" t="n">
        <v>46273.3255902778</v>
      </c>
      <c r="C22" s="8" t="s">
        <v>50</v>
      </c>
      <c r="D22" s="10" t="s">
        <v>43</v>
      </c>
      <c r="E22" s="8" t="n">
        <v>1</v>
      </c>
      <c r="F22" s="11" t="n">
        <v>4.8</v>
      </c>
      <c r="G22" s="12" t="n">
        <f aca="false">E22*F22</f>
        <v>4.8</v>
      </c>
      <c r="H22" s="8" t="s">
        <v>52</v>
      </c>
    </row>
    <row r="23" customFormat="false" ht="15" hidden="false" customHeight="false" outlineLevel="0" collapsed="false">
      <c r="A23" s="8" t="s">
        <v>82</v>
      </c>
      <c r="B23" s="9" t="n">
        <v>46273.3410416667</v>
      </c>
      <c r="C23" s="8" t="s">
        <v>83</v>
      </c>
      <c r="D23" s="10" t="s">
        <v>66</v>
      </c>
      <c r="E23" s="8" t="n">
        <v>1</v>
      </c>
      <c r="F23" s="11" t="n">
        <v>0</v>
      </c>
      <c r="G23" s="12" t="n">
        <f aca="false">E23*F23</f>
        <v>0</v>
      </c>
      <c r="H23" s="8" t="s">
        <v>37</v>
      </c>
    </row>
    <row r="24" customFormat="false" ht="15" hidden="false" customHeight="false" outlineLevel="0" collapsed="false">
      <c r="A24" s="8" t="s">
        <v>84</v>
      </c>
      <c r="B24" s="9" t="n">
        <v>46273.356712963</v>
      </c>
      <c r="C24" s="8" t="s">
        <v>55</v>
      </c>
      <c r="D24" s="10" t="s">
        <v>64</v>
      </c>
      <c r="E24" s="8" t="n">
        <v>2</v>
      </c>
      <c r="F24" s="11" t="n">
        <v>5.2</v>
      </c>
      <c r="G24" s="12" t="n">
        <f aca="false">E24*F24</f>
        <v>10.4</v>
      </c>
      <c r="H24" s="8" t="s">
        <v>37</v>
      </c>
    </row>
    <row r="25" customFormat="false" ht="15" hidden="false" customHeight="false" outlineLevel="0" collapsed="false">
      <c r="A25" s="8" t="s">
        <v>85</v>
      </c>
      <c r="B25" s="9" t="n">
        <v>46273.3850115741</v>
      </c>
      <c r="C25" s="8" t="s">
        <v>86</v>
      </c>
      <c r="D25" s="10" t="s">
        <v>56</v>
      </c>
      <c r="E25" s="8" t="n">
        <v>1</v>
      </c>
      <c r="F25" s="11" t="n">
        <v>9.5</v>
      </c>
      <c r="G25" s="12" t="n">
        <f aca="false">E25*F25</f>
        <v>9.5</v>
      </c>
      <c r="H25" s="8" t="s">
        <v>37</v>
      </c>
    </row>
    <row r="26" customFormat="false" ht="15" hidden="false" customHeight="false" outlineLevel="0" collapsed="false">
      <c r="A26" s="8" t="s">
        <v>87</v>
      </c>
      <c r="B26" s="9" t="n">
        <v>46273.3854050926</v>
      </c>
      <c r="C26" s="8" t="s">
        <v>86</v>
      </c>
      <c r="D26" s="10" t="s">
        <v>56</v>
      </c>
      <c r="E26" s="8" t="n">
        <v>1</v>
      </c>
      <c r="F26" s="11" t="n">
        <v>9.5</v>
      </c>
      <c r="G26" s="12" t="n">
        <f aca="false">E26*F26</f>
        <v>9.5</v>
      </c>
      <c r="H26" s="8" t="s">
        <v>37</v>
      </c>
    </row>
    <row r="27" customFormat="false" ht="15" hidden="false" customHeight="false" outlineLevel="0" collapsed="false">
      <c r="A27" s="8" t="s">
        <v>88</v>
      </c>
      <c r="B27" s="9" t="n">
        <v>46273.385775463</v>
      </c>
      <c r="C27" s="8" t="s">
        <v>86</v>
      </c>
      <c r="D27" s="10" t="s">
        <v>56</v>
      </c>
      <c r="E27" s="8" t="n">
        <v>1</v>
      </c>
      <c r="F27" s="11" t="n">
        <v>9.5</v>
      </c>
      <c r="G27" s="12" t="n">
        <f aca="false">E27*F27</f>
        <v>9.5</v>
      </c>
      <c r="H27" s="8" t="s">
        <v>37</v>
      </c>
    </row>
    <row r="28" customFormat="false" ht="15" hidden="false" customHeight="false" outlineLevel="0" collapsed="false">
      <c r="A28" s="8" t="s">
        <v>89</v>
      </c>
      <c r="B28" s="9" t="n">
        <v>46273.4182523148</v>
      </c>
      <c r="C28" s="8" t="s">
        <v>63</v>
      </c>
      <c r="D28" s="10" t="s">
        <v>51</v>
      </c>
      <c r="E28" s="8" t="n">
        <v>1</v>
      </c>
      <c r="F28" s="11" t="n">
        <v>5.8</v>
      </c>
      <c r="G28" s="12" t="n">
        <f aca="false">E28*F28</f>
        <v>5.8</v>
      </c>
      <c r="H28" s="8" t="s">
        <v>37</v>
      </c>
    </row>
    <row r="29" customFormat="false" ht="15" hidden="false" customHeight="false" outlineLevel="0" collapsed="false">
      <c r="A29" s="8" t="s">
        <v>90</v>
      </c>
      <c r="B29" s="9" t="n">
        <v>46273.4768865741</v>
      </c>
      <c r="C29" s="8" t="s">
        <v>68</v>
      </c>
      <c r="D29" s="10" t="s">
        <v>91</v>
      </c>
      <c r="E29" s="8" t="n">
        <v>2</v>
      </c>
      <c r="F29" s="11" t="n">
        <v>24</v>
      </c>
      <c r="G29" s="12" t="n">
        <f aca="false">E29*F29</f>
        <v>48</v>
      </c>
      <c r="H29" s="8" t="s">
        <v>37</v>
      </c>
    </row>
    <row r="30" customFormat="false" ht="15" hidden="false" customHeight="false" outlineLevel="0" collapsed="false">
      <c r="A30" s="8" t="s">
        <v>92</v>
      </c>
      <c r="B30" s="9" t="n">
        <v>46273.5125578704</v>
      </c>
      <c r="C30" s="8" t="s">
        <v>46</v>
      </c>
      <c r="D30" s="10" t="s">
        <v>69</v>
      </c>
      <c r="E30" s="8" t="n">
        <v>1</v>
      </c>
      <c r="F30" s="11" t="n">
        <v>1.25</v>
      </c>
      <c r="G30" s="12" t="n">
        <f aca="false">E30*F30</f>
        <v>1.25</v>
      </c>
      <c r="H30" s="8" t="s">
        <v>37</v>
      </c>
    </row>
    <row r="31" customFormat="false" ht="15" hidden="false" customHeight="false" outlineLevel="0" collapsed="false">
      <c r="A31" s="8" t="s">
        <v>93</v>
      </c>
      <c r="B31" s="9" t="n">
        <v>46273.5698958333</v>
      </c>
      <c r="C31" s="8" t="s">
        <v>60</v>
      </c>
      <c r="D31" s="10" t="s">
        <v>61</v>
      </c>
      <c r="E31" s="8" t="n">
        <v>-3</v>
      </c>
      <c r="F31" s="11" t="n">
        <v>3.5</v>
      </c>
      <c r="G31" s="12" t="n">
        <f aca="false">E31*F31</f>
        <v>-10.5</v>
      </c>
      <c r="H31" s="8" t="s">
        <v>44</v>
      </c>
    </row>
    <row r="32" customFormat="false" ht="15" hidden="false" customHeight="false" outlineLevel="0" collapsed="false">
      <c r="A32" s="8" t="s">
        <v>94</v>
      </c>
      <c r="B32" s="9" t="n">
        <v>46273.6286111111</v>
      </c>
      <c r="C32" s="8" t="s">
        <v>75</v>
      </c>
      <c r="D32" s="10" t="s">
        <v>95</v>
      </c>
      <c r="E32" s="8" t="n">
        <v>1</v>
      </c>
      <c r="F32" s="11" t="n">
        <v>5.2</v>
      </c>
      <c r="G32" s="12" t="n">
        <f aca="false">E32*F32</f>
        <v>5.2</v>
      </c>
      <c r="H32" s="8" t="s">
        <v>52</v>
      </c>
    </row>
    <row r="33" customFormat="false" ht="15" hidden="false" customHeight="false" outlineLevel="0" collapsed="false">
      <c r="A33" s="8" t="s">
        <v>96</v>
      </c>
      <c r="B33" s="9" t="n">
        <v>46274.2984722222</v>
      </c>
      <c r="C33" s="8" t="s">
        <v>42</v>
      </c>
      <c r="D33" s="10" t="s">
        <v>43</v>
      </c>
      <c r="E33" s="8" t="n">
        <v>1</v>
      </c>
      <c r="F33" s="11" t="n">
        <v>4.8</v>
      </c>
      <c r="G33" s="12" t="n">
        <f aca="false">E33*F33</f>
        <v>4.8</v>
      </c>
      <c r="H33" s="8" t="s">
        <v>44</v>
      </c>
    </row>
    <row r="34" customFormat="false" ht="15" hidden="false" customHeight="false" outlineLevel="0" collapsed="false">
      <c r="A34" s="8" t="s">
        <v>97</v>
      </c>
      <c r="B34" s="9" t="n">
        <v>46274.3108217593</v>
      </c>
      <c r="C34" s="8" t="s">
        <v>58</v>
      </c>
      <c r="D34" s="10" t="s">
        <v>36</v>
      </c>
      <c r="E34" s="8" t="n">
        <v>1</v>
      </c>
      <c r="F34" s="11" t="n">
        <v>5.2</v>
      </c>
      <c r="G34" s="12" t="n">
        <f aca="false">E34*F34</f>
        <v>5.2</v>
      </c>
      <c r="H34" s="8" t="s">
        <v>37</v>
      </c>
    </row>
    <row r="35" customFormat="false" ht="15" hidden="false" customHeight="false" outlineLevel="0" collapsed="false">
      <c r="A35" s="8" t="s">
        <v>98</v>
      </c>
      <c r="B35" s="9" t="n">
        <v>46274.3300925926</v>
      </c>
      <c r="C35" s="8" t="s">
        <v>80</v>
      </c>
      <c r="D35" s="10" t="s">
        <v>76</v>
      </c>
      <c r="E35" s="8" t="n">
        <v>1</v>
      </c>
      <c r="F35" s="11" t="n">
        <v>6.5</v>
      </c>
      <c r="G35" s="12" t="n">
        <f aca="false">E35*F35</f>
        <v>6.5</v>
      </c>
      <c r="H35" s="8" t="s">
        <v>37</v>
      </c>
    </row>
    <row r="36" customFormat="false" ht="15" hidden="false" customHeight="false" outlineLevel="0" collapsed="false">
      <c r="A36" s="8" t="s">
        <v>99</v>
      </c>
      <c r="B36" s="9" t="n">
        <v>46274.3472337963</v>
      </c>
      <c r="C36" s="8" t="s">
        <v>35</v>
      </c>
      <c r="D36" s="10" t="s">
        <v>36</v>
      </c>
      <c r="E36" s="8" t="n">
        <v>1</v>
      </c>
      <c r="F36" s="11" t="n">
        <v>5.2</v>
      </c>
      <c r="G36" s="12" t="n">
        <f aca="false">E36*F36</f>
        <v>5.2</v>
      </c>
      <c r="H36" s="8" t="s">
        <v>37</v>
      </c>
    </row>
    <row r="37" customFormat="false" ht="15" hidden="false" customHeight="false" outlineLevel="0" collapsed="false">
      <c r="A37" s="8" t="s">
        <v>100</v>
      </c>
      <c r="B37" s="9" t="n">
        <v>46274.364537037</v>
      </c>
      <c r="C37" s="8" t="s">
        <v>83</v>
      </c>
      <c r="D37" s="10" t="s">
        <v>40</v>
      </c>
      <c r="E37" s="8" t="n">
        <v>3</v>
      </c>
      <c r="F37" s="11" t="n">
        <v>4.9</v>
      </c>
      <c r="G37" s="12" t="n">
        <f aca="false">E37*F37</f>
        <v>14.7</v>
      </c>
      <c r="H37" s="8" t="s">
        <v>37</v>
      </c>
    </row>
    <row r="38" customFormat="false" ht="15" hidden="false" customHeight="false" outlineLevel="0" collapsed="false">
      <c r="A38" s="8" t="s">
        <v>101</v>
      </c>
      <c r="B38" s="9" t="n">
        <v>46274.3961805556</v>
      </c>
      <c r="C38" s="8" t="s">
        <v>71</v>
      </c>
      <c r="D38" s="10" t="s">
        <v>91</v>
      </c>
      <c r="E38" s="8" t="n">
        <v>40</v>
      </c>
      <c r="F38" s="11" t="n">
        <v>24</v>
      </c>
      <c r="G38" s="12" t="n">
        <f aca="false">E38*F38</f>
        <v>960</v>
      </c>
      <c r="H38" s="8" t="s">
        <v>37</v>
      </c>
    </row>
    <row r="39" customFormat="false" ht="15" hidden="false" customHeight="false" outlineLevel="0" collapsed="false">
      <c r="A39" s="8" t="s">
        <v>102</v>
      </c>
      <c r="B39" s="9" t="n">
        <v>46274.4255092593</v>
      </c>
      <c r="C39" s="8" t="s">
        <v>55</v>
      </c>
      <c r="D39" s="10" t="s">
        <v>47</v>
      </c>
      <c r="E39" s="8" t="n">
        <v>1</v>
      </c>
      <c r="F39" s="11" t="n">
        <v>5.5</v>
      </c>
      <c r="G39" s="12" t="n">
        <f aca="false">E39*F39</f>
        <v>5.5</v>
      </c>
      <c r="H39" s="8" t="s">
        <v>52</v>
      </c>
    </row>
    <row r="40" customFormat="false" ht="15" hidden="false" customHeight="false" outlineLevel="0" collapsed="false">
      <c r="A40" s="8" t="s">
        <v>103</v>
      </c>
      <c r="B40" s="9" t="n">
        <v>46274.4987152778</v>
      </c>
      <c r="C40" s="8" t="s">
        <v>39</v>
      </c>
      <c r="D40" s="10" t="s">
        <v>69</v>
      </c>
      <c r="E40" s="8" t="n">
        <v>1</v>
      </c>
      <c r="F40" s="11" t="n">
        <v>12.5</v>
      </c>
      <c r="G40" s="12" t="n">
        <f aca="false">E40*F40</f>
        <v>12.5</v>
      </c>
      <c r="H40" s="8" t="s">
        <v>37</v>
      </c>
    </row>
    <row r="41" customFormat="false" ht="15" hidden="false" customHeight="false" outlineLevel="0" collapsed="false">
      <c r="A41" s="8" t="s">
        <v>104</v>
      </c>
      <c r="B41" s="9" t="n">
        <v>46274.5280902778</v>
      </c>
      <c r="C41" s="8" t="s">
        <v>50</v>
      </c>
      <c r="D41" s="10" t="s">
        <v>56</v>
      </c>
      <c r="E41" s="8" t="n">
        <v>2</v>
      </c>
      <c r="F41" s="11" t="n">
        <v>9.5</v>
      </c>
      <c r="G41" s="12" t="n">
        <f aca="false">E41*F41</f>
        <v>19</v>
      </c>
      <c r="H41" s="8" t="s">
        <v>37</v>
      </c>
    </row>
    <row r="42" customFormat="false" ht="15" hidden="false" customHeight="false" outlineLevel="0" collapsed="false">
      <c r="A42" s="8" t="s">
        <v>102</v>
      </c>
      <c r="B42" s="9" t="n">
        <v>46274.5571527778</v>
      </c>
      <c r="C42" s="8" t="s">
        <v>63</v>
      </c>
      <c r="D42" s="10" t="s">
        <v>76</v>
      </c>
      <c r="E42" s="8" t="n">
        <v>1</v>
      </c>
      <c r="F42" s="11" t="n">
        <v>6.5</v>
      </c>
      <c r="G42" s="12" t="n">
        <f aca="false">E42*F42</f>
        <v>6.5</v>
      </c>
      <c r="H42" s="8" t="s">
        <v>37</v>
      </c>
    </row>
    <row r="43" customFormat="false" ht="15" hidden="false" customHeight="false" outlineLevel="0" collapsed="false">
      <c r="A43" s="8" t="s">
        <v>105</v>
      </c>
      <c r="B43" s="9" t="n">
        <v>46274.5873958333</v>
      </c>
      <c r="C43" s="8" t="s">
        <v>86</v>
      </c>
      <c r="D43" s="10" t="s">
        <v>66</v>
      </c>
      <c r="E43" s="8" t="n">
        <v>2</v>
      </c>
      <c r="F43" s="11" t="n">
        <v>4.8</v>
      </c>
      <c r="G43" s="12" t="n">
        <f aca="false">E43*F43</f>
        <v>9.6</v>
      </c>
      <c r="H43" s="8" t="s">
        <v>37</v>
      </c>
    </row>
    <row r="44" customFormat="false" ht="15" hidden="false" customHeight="false" outlineLevel="0" collapsed="false">
      <c r="A44" s="8" t="s">
        <v>106</v>
      </c>
      <c r="B44" s="9" t="n">
        <v>46274.5878472222</v>
      </c>
      <c r="C44" s="8" t="s">
        <v>68</v>
      </c>
      <c r="D44" s="10" t="s">
        <v>66</v>
      </c>
      <c r="E44" s="8" t="n">
        <v>2</v>
      </c>
      <c r="F44" s="11" t="n">
        <v>4.8</v>
      </c>
      <c r="G44" s="12" t="n">
        <f aca="false">E44*F44</f>
        <v>9.6</v>
      </c>
      <c r="H44" s="8" t="s">
        <v>37</v>
      </c>
    </row>
    <row r="45" customFormat="false" ht="15" hidden="false" customHeight="false" outlineLevel="0" collapsed="false">
      <c r="A45" s="8" t="s">
        <v>107</v>
      </c>
      <c r="B45" s="9" t="n">
        <v>46274.6466898148</v>
      </c>
      <c r="C45" s="8" t="s">
        <v>75</v>
      </c>
      <c r="D45" s="10" t="s">
        <v>43</v>
      </c>
      <c r="E45" s="8" t="n">
        <v>1</v>
      </c>
      <c r="F45" s="11" t="n">
        <v>4.8</v>
      </c>
      <c r="G45" s="12" t="n">
        <f aca="false">E45*F45</f>
        <v>4.8</v>
      </c>
      <c r="H45" s="8" t="s">
        <v>37</v>
      </c>
    </row>
  </sheetData>
  <autoFilter ref="A1:H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7"/>
  </cols>
  <sheetData>
    <row r="1" customFormat="false" ht="15" hidden="false" customHeight="false" outlineLevel="0" collapsed="false">
      <c r="A1" s="6" t="s">
        <v>22</v>
      </c>
      <c r="B1" s="6" t="s">
        <v>108</v>
      </c>
      <c r="C1" s="6" t="s">
        <v>109</v>
      </c>
    </row>
    <row r="2" customFormat="false" ht="15" hidden="false" customHeight="false" outlineLevel="0" collapsed="false">
      <c r="A2" s="10" t="s">
        <v>36</v>
      </c>
      <c r="B2" s="10" t="s">
        <v>110</v>
      </c>
      <c r="C2" s="11" t="n">
        <v>5.2</v>
      </c>
    </row>
    <row r="3" customFormat="false" ht="15" hidden="false" customHeight="false" outlineLevel="0" collapsed="false">
      <c r="A3" s="10" t="s">
        <v>64</v>
      </c>
      <c r="B3" s="10" t="s">
        <v>110</v>
      </c>
      <c r="C3" s="11" t="n">
        <v>5.2</v>
      </c>
    </row>
    <row r="4" customFormat="false" ht="15" hidden="false" customHeight="false" outlineLevel="0" collapsed="false">
      <c r="A4" s="10" t="s">
        <v>43</v>
      </c>
      <c r="B4" s="10" t="s">
        <v>110</v>
      </c>
      <c r="C4" s="11" t="n">
        <v>4.8</v>
      </c>
    </row>
    <row r="5" customFormat="false" ht="15" hidden="false" customHeight="false" outlineLevel="0" collapsed="false">
      <c r="A5" s="10" t="s">
        <v>47</v>
      </c>
      <c r="B5" s="10" t="s">
        <v>110</v>
      </c>
      <c r="C5" s="11" t="n">
        <v>5.5</v>
      </c>
    </row>
    <row r="6" customFormat="false" ht="15" hidden="false" customHeight="false" outlineLevel="0" collapsed="false">
      <c r="A6" s="10" t="s">
        <v>76</v>
      </c>
      <c r="B6" s="10" t="s">
        <v>111</v>
      </c>
      <c r="C6" s="11" t="n">
        <v>6.5</v>
      </c>
    </row>
    <row r="7" customFormat="false" ht="15" hidden="false" customHeight="false" outlineLevel="0" collapsed="false">
      <c r="A7" s="10" t="s">
        <v>61</v>
      </c>
      <c r="B7" s="10" t="s">
        <v>111</v>
      </c>
      <c r="C7" s="11" t="n">
        <v>3.5</v>
      </c>
    </row>
    <row r="8" customFormat="false" ht="15" hidden="false" customHeight="false" outlineLevel="0" collapsed="false">
      <c r="A8" s="10" t="s">
        <v>40</v>
      </c>
      <c r="B8" s="10" t="s">
        <v>112</v>
      </c>
      <c r="C8" s="11" t="n">
        <v>4.9</v>
      </c>
    </row>
    <row r="9" customFormat="false" ht="15" hidden="false" customHeight="false" outlineLevel="0" collapsed="false">
      <c r="A9" s="10" t="s">
        <v>51</v>
      </c>
      <c r="B9" s="10" t="s">
        <v>112</v>
      </c>
      <c r="C9" s="11" t="n">
        <v>5.8</v>
      </c>
    </row>
    <row r="10" customFormat="false" ht="15" hidden="false" customHeight="false" outlineLevel="0" collapsed="false">
      <c r="A10" s="10" t="s">
        <v>66</v>
      </c>
      <c r="B10" s="10" t="s">
        <v>112</v>
      </c>
      <c r="C10" s="11" t="n">
        <v>4.8</v>
      </c>
    </row>
    <row r="11" customFormat="false" ht="15" hidden="false" customHeight="false" outlineLevel="0" collapsed="false">
      <c r="A11" s="10" t="s">
        <v>56</v>
      </c>
      <c r="B11" s="10" t="s">
        <v>113</v>
      </c>
      <c r="C11" s="11" t="n">
        <v>9.5</v>
      </c>
    </row>
    <row r="12" customFormat="false" ht="15" hidden="false" customHeight="false" outlineLevel="0" collapsed="false">
      <c r="A12" s="10" t="s">
        <v>69</v>
      </c>
      <c r="B12" s="10" t="s">
        <v>113</v>
      </c>
      <c r="C12" s="11" t="n">
        <v>12.5</v>
      </c>
    </row>
    <row r="13" customFormat="false" ht="15" hidden="false" customHeight="false" outlineLevel="0" collapsed="false">
      <c r="A13" s="10" t="s">
        <v>91</v>
      </c>
      <c r="B13" s="10" t="s">
        <v>114</v>
      </c>
      <c r="C13" s="11" t="n">
        <v>24</v>
      </c>
    </row>
    <row r="15" customFormat="false" ht="15" hidden="false" customHeight="false" outlineLevel="0" collapsed="false">
      <c r="A15" s="13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2026-10-06T01:46:03Z</dcterms:created>
  <dc:creator>openpyxl</dc:creator>
  <dc:description/>
  <dc:language>en-US</dc:language>
  <cp:lastModifiedBy/>
  <dcterms:modified xsi:type="dcterms:W3CDTF">2026-10-06T01:46:03Z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